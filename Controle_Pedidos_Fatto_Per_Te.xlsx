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nel Fatto Per Te" sheetId="1" state="visible" r:id="rId1"/>
    <sheet xmlns:r="http://schemas.openxmlformats.org/officeDocument/2006/relationships" name="Pedidos" sheetId="2" state="visible" r:id="rId2"/>
    <sheet xmlns:r="http://schemas.openxmlformats.org/officeDocument/2006/relationships" name="Catalogo e Precos" sheetId="3" state="visible" r:id="rId3"/>
  </sheets>
  <definedNames>
    <definedName name="_xlnm._FilterDatabase" localSheetId="1" hidden="1">'Pedidos'!$A$4:$N$500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R$ #,##0.00"/>
    <numFmt numFmtId="165" formatCode="yyyy-mm-dd"/>
    <numFmt numFmtId="166" formatCode="dd/mm/yyyy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082B49"/>
      <sz val="10"/>
    </font>
    <font>
      <name val="Calibri"/>
      <b val="1"/>
      <color rgb="00FFFFFF"/>
      <sz val="11"/>
    </font>
    <font>
      <name val="Calibri"/>
      <b val="1"/>
      <color rgb="001E293B"/>
      <sz val="10"/>
    </font>
    <font>
      <name val="Calibri"/>
      <color rgb="001E293B"/>
      <sz val="10"/>
    </font>
    <font>
      <name val="Calibri"/>
      <b val="1"/>
      <color rgb="00082B49"/>
      <sz val="14"/>
    </font>
    <font>
      <name val="Calibri"/>
      <i val="1"/>
      <color rgb="00475569"/>
      <sz val="9"/>
    </font>
    <font>
      <name val="Calibri"/>
      <i val="1"/>
      <color rgb="00082B49"/>
      <sz val="10"/>
    </font>
    <font>
      <name val="Calibri"/>
      <b val="1"/>
      <color rgb="0064748B"/>
      <sz val="9"/>
    </font>
    <font>
      <name val="Calibri"/>
      <b val="1"/>
      <color rgb="00082B49"/>
      <sz val="15"/>
    </font>
    <font>
      <name val="Calibri"/>
      <b val="1"/>
      <color rgb="00137333"/>
      <sz val="15"/>
    </font>
    <font>
      <name val="Calibri"/>
      <b val="1"/>
      <color rgb="00B06000"/>
      <sz val="15"/>
    </font>
    <font>
      <name val="Calibri"/>
      <b val="1"/>
      <color rgb="00082B49"/>
      <sz val="11"/>
    </font>
  </fonts>
  <fills count="8">
    <fill>
      <patternFill/>
    </fill>
    <fill>
      <patternFill patternType="gray125"/>
    </fill>
    <fill>
      <patternFill patternType="solid">
        <fgColor rgb="00082B49"/>
        <bgColor rgb="00082B49"/>
      </patternFill>
    </fill>
    <fill>
      <patternFill patternType="solid">
        <fgColor rgb="00FBF6EC"/>
        <bgColor rgb="00FBF6EC"/>
      </patternFill>
    </fill>
    <fill>
      <patternFill patternType="solid">
        <fgColor rgb="0012436B"/>
        <bgColor rgb="0012436B"/>
      </patternFill>
    </fill>
    <fill>
      <patternFill patternType="solid">
        <fgColor rgb="00C8963E"/>
        <bgColor rgb="00C8963E"/>
      </patternFill>
    </fill>
    <fill>
      <patternFill patternType="solid">
        <fgColor rgb="00F4F7FA"/>
        <bgColor rgb="00F4F7FA"/>
      </patternFill>
    </fill>
    <fill>
      <patternFill patternType="solid">
        <fgColor rgb="00FFFFFF"/>
        <bgColor rgb="00FFFFFF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C8963E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082B49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8" fillId="3" borderId="0" applyAlignment="1" pivotButton="0" quotePrefix="0" xfId="0">
      <alignment horizontal="left" vertical="center" indent="1"/>
    </xf>
    <xf numFmtId="0" fontId="9" fillId="3" borderId="2" applyAlignment="1" pivotButton="0" quotePrefix="0" xfId="0">
      <alignment horizontal="center" vertical="center" wrapText="1"/>
    </xf>
    <xf numFmtId="0" fontId="0" fillId="0" borderId="2" pivotButton="0" quotePrefix="0" xfId="0"/>
    <xf numFmtId="1" fontId="10" fillId="7" borderId="2" applyAlignment="1" pivotButton="0" quotePrefix="0" xfId="0">
      <alignment horizontal="center" vertical="center" wrapText="1"/>
    </xf>
    <xf numFmtId="164" fontId="10" fillId="7" borderId="2" applyAlignment="1" pivotButton="0" quotePrefix="0" xfId="0">
      <alignment horizontal="center" vertical="center" wrapText="1"/>
    </xf>
    <xf numFmtId="164" fontId="11" fillId="7" borderId="2" applyAlignment="1" pivotButton="0" quotePrefix="0" xfId="0">
      <alignment horizontal="center" vertical="center" wrapText="1"/>
    </xf>
    <xf numFmtId="164" fontId="12" fillId="7" borderId="2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right" vertical="center" wrapText="1"/>
    </xf>
    <xf numFmtId="164" fontId="4" fillId="6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164" fontId="5" fillId="7" borderId="1" applyAlignment="1" pivotButton="0" quotePrefix="0" xfId="0">
      <alignment horizontal="right" vertical="center" wrapText="1"/>
    </xf>
    <xf numFmtId="164" fontId="4" fillId="7" borderId="1" applyAlignment="1" pivotButton="0" quotePrefix="0" xfId="0">
      <alignment horizontal="right" vertical="center" wrapText="1"/>
    </xf>
    <xf numFmtId="0" fontId="4" fillId="7" borderId="1" applyAlignment="1" pivotButton="0" quotePrefix="0" xfId="0">
      <alignment horizontal="center" vertical="center" wrapText="1"/>
    </xf>
    <xf numFmtId="0" fontId="13" fillId="3" borderId="3" applyAlignment="1" pivotButton="0" quotePrefix="0" xfId="0">
      <alignment horizontal="left" vertical="center" wrapText="1"/>
    </xf>
    <xf numFmtId="0" fontId="13" fillId="3" borderId="3" applyAlignment="1" pivotButton="0" quotePrefix="0" xfId="0">
      <alignment horizontal="center" vertical="center" wrapText="1"/>
    </xf>
    <xf numFmtId="164" fontId="13" fillId="3" borderId="3" applyAlignment="1" pivotButton="0" quotePrefix="0" xfId="0">
      <alignment horizontal="right" vertical="center" wrapText="1"/>
    </xf>
    <xf numFmtId="0" fontId="4" fillId="7" borderId="3" applyAlignment="1" pivotButton="0" quotePrefix="0" xfId="0">
      <alignment horizontal="left" vertical="center" wrapText="1"/>
    </xf>
    <xf numFmtId="0" fontId="5" fillId="7" borderId="3" applyAlignment="1" pivotButton="0" quotePrefix="0" xfId="0">
      <alignment horizontal="center" vertical="center" wrapText="1"/>
    </xf>
    <xf numFmtId="164" fontId="5" fillId="7" borderId="3" applyAlignment="1" pivotButton="0" quotePrefix="0" xfId="0">
      <alignment horizontal="right" vertical="center" wrapText="1"/>
    </xf>
    <xf numFmtId="164" fontId="4" fillId="7" borderId="3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center" vertical="center" wrapText="1"/>
    </xf>
    <xf numFmtId="166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166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ont>
        <name val="Calibri"/>
        <b val="1"/>
        <color rgb="00B06000"/>
        <sz val="10"/>
      </font>
      <fill>
        <patternFill patternType="solid">
          <fgColor rgb="00FEF7E0"/>
          <bgColor rgb="00FEF7E0"/>
        </patternFill>
      </fill>
    </dxf>
    <dxf>
      <font>
        <name val="Calibri"/>
        <b val="1"/>
        <color rgb="00137333"/>
        <sz val="10"/>
      </font>
      <fill>
        <patternFill patternType="solid">
          <fgColor rgb="00E6F4EA"/>
          <bgColor rgb="00E6F4EA"/>
        </patternFill>
      </fill>
    </dxf>
    <dxf>
      <font>
        <name val="Calibri"/>
        <b val="1"/>
        <color rgb="00C5221F"/>
        <sz val="10"/>
      </font>
      <fill>
        <patternFill patternType="solid">
          <fgColor rgb="00FCE8E6"/>
          <bgColor rgb="00FCE8E6"/>
        </patternFill>
      </fill>
    </dxf>
    <dxf>
      <font>
        <name val="Calibri"/>
        <b val="1"/>
        <color rgb="001967D2"/>
        <sz val="10"/>
      </font>
      <fill>
        <patternFill patternType="solid">
          <fgColor rgb="00E8F0FE"/>
          <bgColor rgb="00E8F0F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Fechamento por Panificadora (Pago vs. A Receber)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'Painel Fatto Per Te'!C8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'Painel Fatto Per Te'!$A$9:$A$11</f>
            </numRef>
          </cat>
          <val>
            <numRef>
              <f>'Painel Fatto Per Te'!$C$9:$C$11</f>
            </numRef>
          </val>
        </ser>
        <ser>
          <idx val="1"/>
          <order val="1"/>
          <tx>
            <strRef>
              <f>'Painel Fatto Per Te'!D8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'Painel Fatto Per Te'!$A$9:$A$11</f>
            </numRef>
          </cat>
          <val>
            <numRef>
              <f>'Painel Fatto Per Te'!$D$9:$D$11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Parceiro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 (R$)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Pedidos por Etapa de Produção</a:t>
            </a:r>
          </a:p>
        </rich>
      </tx>
    </title>
    <plotArea>
      <pieChart>
        <varyColors val="1"/>
        <ser>
          <idx val="0"/>
          <order val="0"/>
          <tx>
            <strRef>
              <f>'Painel Fatto Per Te'!H8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'Painel Fatto Per Te'!$G$9:$G$12</f>
            </numRef>
          </cat>
          <val>
            <numRef>
              <f>'Painel Fatto Per Te'!$H$9:$H$12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14</row>
      <rowOff>0</rowOff>
    </from>
    <ext cx="39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8" customWidth="1" min="3" max="3"/>
    <col width="24" customWidth="1" min="4" max="4"/>
    <col width="22" customWidth="1" min="5" max="5"/>
    <col width="4" customWidth="1" min="6" max="6"/>
    <col width="24" customWidth="1" min="7" max="7"/>
    <col width="16" customWidth="1" min="8" max="8"/>
  </cols>
  <sheetData>
    <row r="1" ht="34" customHeight="1">
      <c r="A1" s="1" t="inlineStr">
        <is>
          <t>FATTO PER TE — PAINEL FINANCEIRO &amp; FECHAMENTO DE PANIFICADORAS</t>
        </is>
      </c>
    </row>
    <row r="2" ht="22" customHeight="1">
      <c r="A2" s="2" t="inlineStr">
        <is>
          <t>Controle automático de Toppers, Cestas e Acertos de Panificadoras Parceiras (@fattoperte.feitopravc)</t>
        </is>
      </c>
    </row>
    <row r="4" ht="18" customHeight="1">
      <c r="A4" s="3" t="inlineStr">
        <is>
          <t>TOTAL DE PEDIDOS</t>
        </is>
      </c>
      <c r="B4" s="4" t="n"/>
      <c r="C4" s="3" t="inlineStr">
        <is>
          <t>FATURAMENTO TOTAL (R$)</t>
        </is>
      </c>
      <c r="D4" s="4" t="n"/>
      <c r="E4" s="3" t="inlineStr">
        <is>
          <t>TOTAL JÁ RECEBIDO (PAGO)</t>
        </is>
      </c>
      <c r="F4" s="4" t="n"/>
      <c r="G4" s="3" t="inlineStr">
        <is>
          <t>PENDENTE A RECEBER (ABERTO)</t>
        </is>
      </c>
      <c r="H4" s="4" t="n"/>
    </row>
    <row r="5" ht="28" customHeight="1">
      <c r="A5" s="5">
        <f>COUNTA(Pedidos!A5:A500)</f>
        <v/>
      </c>
      <c r="B5" s="4" t="n"/>
      <c r="C5" s="6">
        <f>SUM(Pedidos!L5:L500)</f>
        <v/>
      </c>
      <c r="D5" s="4" t="n"/>
      <c r="E5" s="7">
        <f>SUMIF(Pedidos!N5:N500, "Pago", Pedidos!L5:L500)</f>
        <v/>
      </c>
      <c r="F5" s="4" t="n"/>
      <c r="G5" s="8">
        <f>SUMIF(Pedidos!N5:N500, "Pendente", Pedidos!L5:L500)</f>
        <v/>
      </c>
      <c r="H5" s="4" t="n"/>
    </row>
    <row r="7" ht="24" customHeight="1">
      <c r="A7" s="9" t="inlineStr">
        <is>
          <t>1. CONTROLE DE ACERTO POR PANIFICADORA PARCEIRA (B2B)</t>
        </is>
      </c>
      <c r="G7" s="9" t="inlineStr">
        <is>
          <t>2. FILA DE PRODUÇÃO ATUAL</t>
        </is>
      </c>
    </row>
    <row r="8" ht="25" customHeight="1">
      <c r="A8" s="10" t="inlineStr">
        <is>
          <t>Panificadora Parceira (Edite os nomes abaixo)</t>
        </is>
      </c>
      <c r="B8" s="11" t="inlineStr">
        <is>
          <t>Qtd. Pedidos</t>
        </is>
      </c>
      <c r="C8" s="11" t="inlineStr">
        <is>
          <t>Já Pago (R$)</t>
        </is>
      </c>
      <c r="D8" s="11" t="inlineStr">
        <is>
          <t>A Receber / Em Aberto (R$)</t>
        </is>
      </c>
      <c r="E8" s="11" t="inlineStr">
        <is>
          <t>Total Movimentado (R$)</t>
        </is>
      </c>
      <c r="G8" s="10" t="inlineStr">
        <is>
          <t>Status da Produção</t>
        </is>
      </c>
      <c r="H8" s="11" t="inlineStr">
        <is>
          <t>Qtd. Pedidos</t>
        </is>
      </c>
    </row>
    <row r="9" ht="22" customHeight="1">
      <c r="A9" s="12" t="inlineStr">
        <is>
          <t>Panificadora Pão Quente</t>
        </is>
      </c>
      <c r="B9" s="13">
        <f>COUNTIF(Pedidos!$D$5:$D$500, A9)</f>
        <v/>
      </c>
      <c r="C9" s="14">
        <f>SUMIFS(Pedidos!$L$5:$L$500, Pedidos!$D$5:$D$500, A9, Pedidos!$N$5:$N$500, "Pago")</f>
        <v/>
      </c>
      <c r="D9" s="15">
        <f>SUMIFS(Pedidos!$L$5:$L$500, Pedidos!$D$5:$D$500, A9, Pedidos!$N$5:$N$500, "Pendente")</f>
        <v/>
      </c>
      <c r="E9" s="15">
        <f>C9+D9</f>
        <v/>
      </c>
      <c r="G9" s="12" t="inlineStr">
        <is>
          <t>Na Fila</t>
        </is>
      </c>
      <c r="H9" s="16">
        <f>COUNTIF(Pedidos!$M$5:$M$500, G9)</f>
        <v/>
      </c>
    </row>
    <row r="10" ht="22" customHeight="1">
      <c r="A10" s="17" t="inlineStr">
        <is>
          <t>Confeitaria Doce Arte</t>
        </is>
      </c>
      <c r="B10" s="18">
        <f>COUNTIF(Pedidos!$D$5:$D$500, A10)</f>
        <v/>
      </c>
      <c r="C10" s="19">
        <f>SUMIFS(Pedidos!$L$5:$L$500, Pedidos!$D$5:$D$500, A10, Pedidos!$N$5:$N$500, "Pago")</f>
        <v/>
      </c>
      <c r="D10" s="20">
        <f>SUMIFS(Pedidos!$L$5:$L$500, Pedidos!$D$5:$D$500, A10, Pedidos!$N$5:$N$500, "Pendente")</f>
        <v/>
      </c>
      <c r="E10" s="20">
        <f>C10+D10</f>
        <v/>
      </c>
      <c r="G10" s="17" t="inlineStr">
        <is>
          <t>Fazendo Arte</t>
        </is>
      </c>
      <c r="H10" s="21">
        <f>COUNTIF(Pedidos!$M$5:$M$500, G10)</f>
        <v/>
      </c>
    </row>
    <row r="11" ht="22" customHeight="1">
      <c r="A11" s="12" t="inlineStr">
        <is>
          <t>Padaria Central</t>
        </is>
      </c>
      <c r="B11" s="13">
        <f>COUNTIF(Pedidos!$D$5:$D$500, A11)</f>
        <v/>
      </c>
      <c r="C11" s="14">
        <f>SUMIFS(Pedidos!$L$5:$L$500, Pedidos!$D$5:$D$500, A11, Pedidos!$N$5:$N$500, "Pago")</f>
        <v/>
      </c>
      <c r="D11" s="15">
        <f>SUMIFS(Pedidos!$L$5:$L$500, Pedidos!$D$5:$D$500, A11, Pedidos!$N$5:$N$500, "Pendente")</f>
        <v/>
      </c>
      <c r="E11" s="15">
        <f>C11+D11</f>
        <v/>
      </c>
      <c r="G11" s="12" t="inlineStr">
        <is>
          <t>Imprimindo/Cortando</t>
        </is>
      </c>
      <c r="H11" s="16">
        <f>COUNTIF(Pedidos!$M$5:$M$500, G11)</f>
        <v/>
      </c>
    </row>
    <row r="12" ht="22" customHeight="1">
      <c r="A12" s="22" t="inlineStr">
        <is>
          <t>Total Panificadoras Parceiras</t>
        </is>
      </c>
      <c r="B12" s="23">
        <f>SUM(B9:B11)</f>
        <v/>
      </c>
      <c r="C12" s="24">
        <f>SUM(C9:C11)</f>
        <v/>
      </c>
      <c r="D12" s="24">
        <f>SUM(D9:D11)</f>
        <v/>
      </c>
      <c r="E12" s="24">
        <f>SUM(E9:E11)</f>
        <v/>
      </c>
      <c r="G12" s="17" t="inlineStr">
        <is>
          <t>Pronto/Entregue</t>
        </is>
      </c>
      <c r="H12" s="21">
        <f>COUNTIF(Pedidos!$M$5:$M$500, G12)</f>
        <v/>
      </c>
    </row>
    <row r="13" ht="22" customHeight="1">
      <c r="A13" s="25" t="inlineStr">
        <is>
          <t>Clientes Avulsos &amp; Empresas (Cestas / Toppers)</t>
        </is>
      </c>
      <c r="B13" s="26">
        <f>COUNTIF(Pedidos!$C$5:$C$500, "Cliente Avulso")</f>
        <v/>
      </c>
      <c r="C13" s="27">
        <f>SUMIFS(Pedidos!$L$5:$L$500, Pedidos!$C$5:$C$500, "Cliente Avulso", Pedidos!$N$5:$N$500, "Pago")</f>
        <v/>
      </c>
      <c r="D13" s="27">
        <f>SUMIFS(Pedidos!$L$5:$L$500, Pedidos!$C$5:$C$500, "Cliente Avulso", Pedidos!$N$5:$N$500, "Pendente")</f>
        <v/>
      </c>
      <c r="E13" s="28">
        <f>C13+D13</f>
        <v/>
      </c>
      <c r="G13" s="22" t="inlineStr">
        <is>
          <t>Total na Produção</t>
        </is>
      </c>
      <c r="H13" s="23">
        <f>SUM(H9:H12)</f>
        <v/>
      </c>
    </row>
  </sheetData>
  <mergeCells count="12">
    <mergeCell ref="A4:B4"/>
    <mergeCell ref="G4:H4"/>
    <mergeCell ref="E4:F4"/>
    <mergeCell ref="G7:H7"/>
    <mergeCell ref="A7:E7"/>
    <mergeCell ref="A2:H2"/>
    <mergeCell ref="C5:D5"/>
    <mergeCell ref="A5:B5"/>
    <mergeCell ref="G5:H5"/>
    <mergeCell ref="E5:F5"/>
    <mergeCell ref="A1:H1"/>
    <mergeCell ref="C4:D4"/>
  </mergeCells>
  <conditionalFormatting sqref="D9:D13">
    <cfRule type="cellIs" priority="1" operator="greaterThan" dxfId="0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26" customWidth="1" min="4" max="4"/>
    <col width="17" customWidth="1" min="5" max="5"/>
    <col width="34" customWidth="1" min="6" max="6"/>
    <col width="24" customWidth="1" min="7" max="7"/>
    <col width="24" customWidth="1" min="8" max="8"/>
    <col width="18" customWidth="1" min="9" max="9"/>
    <col width="13" customWidth="1" min="10" max="10"/>
    <col width="32" customWidth="1" min="11" max="11"/>
    <col width="14" customWidth="1" min="12" max="12"/>
    <col width="21" customWidth="1" min="13" max="13"/>
    <col width="17" customWidth="1" min="14" max="14"/>
  </cols>
  <sheetData>
    <row r="1" ht="34" customHeight="1">
      <c r="A1" s="1" t="inlineStr">
        <is>
          <t>FATTO PER TE — CONTROLE DE PEDIDOS, TOPPERS E CESTAS PERSONALIZADAS</t>
        </is>
      </c>
    </row>
    <row r="2" ht="22" customHeight="1">
      <c r="A2" s="2" t="inlineStr">
        <is>
          <t>Os pedidos enviados pelo site caem aqui sozinhos. Atualize apenas o Valor final se houver adicional (L), Status Produção (M) e Pagamento (N).</t>
        </is>
      </c>
    </row>
    <row r="4" ht="28" customHeight="1">
      <c r="A4" s="11" t="inlineStr">
        <is>
          <t>ID Pedido</t>
        </is>
      </c>
      <c r="B4" s="11" t="inlineStr">
        <is>
          <t>Data Pedido</t>
        </is>
      </c>
      <c r="C4" s="11" t="inlineStr">
        <is>
          <t>Modalidade</t>
        </is>
      </c>
      <c r="D4" s="11" t="inlineStr">
        <is>
          <t>Cliente / Panificadora</t>
        </is>
      </c>
      <c r="E4" s="11" t="inlineStr">
        <is>
          <t>WhatsApp</t>
        </is>
      </c>
      <c r="F4" s="11" t="inlineStr">
        <is>
          <t>Produto Escolhido</t>
        </is>
      </c>
      <c r="G4" s="11" t="inlineStr">
        <is>
          <t>Tema / Ocasião</t>
        </is>
      </c>
      <c r="H4" s="11" t="inlineStr">
        <is>
          <t>Nome e Idade (Arte)</t>
        </is>
      </c>
      <c r="I4" s="11" t="inlineStr">
        <is>
          <t>Tamanho Bolo / Box</t>
        </is>
      </c>
      <c r="J4" s="11" t="inlineStr">
        <is>
          <t>Data Entrega</t>
        </is>
      </c>
      <c r="K4" s="11" t="inlineStr">
        <is>
          <t>Observações da Arte</t>
        </is>
      </c>
      <c r="L4" s="29" t="inlineStr">
        <is>
          <t>Valor (R$)</t>
        </is>
      </c>
      <c r="M4" s="29" t="inlineStr">
        <is>
          <t>Status da Produção</t>
        </is>
      </c>
      <c r="N4" s="29" t="inlineStr">
        <is>
          <t>Status Pagamento</t>
        </is>
      </c>
    </row>
    <row r="5" ht="22" customHeight="1">
      <c r="A5" s="16" t="inlineStr">
        <is>
          <t>PED-001</t>
        </is>
      </c>
      <c r="B5" s="30" t="n">
        <v>46300</v>
      </c>
      <c r="C5" s="13" t="inlineStr">
        <is>
          <t>Panificadora Parceira</t>
        </is>
      </c>
      <c r="D5" s="12" t="inlineStr">
        <is>
          <t>Panificadora Pão Quente</t>
        </is>
      </c>
      <c r="E5" s="13" t="inlineStr">
        <is>
          <t>(41) 99811-2233</t>
        </is>
      </c>
      <c r="F5" s="31" t="inlineStr">
        <is>
          <t>Topo Especial 3D em Camadas / Com Foto</t>
        </is>
      </c>
      <c r="G5" s="31" t="inlineStr">
        <is>
          <t>Fazendinha</t>
        </is>
      </c>
      <c r="H5" s="31" t="inlineStr">
        <is>
          <t>Heitor - 2 anos</t>
        </is>
      </c>
      <c r="I5" s="13" t="inlineStr">
        <is>
          <t>2.5 kg (Aro 22)</t>
        </is>
      </c>
      <c r="J5" s="30" t="n">
        <v>46302</v>
      </c>
      <c r="K5" s="31" t="inlineStr">
        <is>
          <t>Celeiro 3D, solzinho e cercadinho</t>
        </is>
      </c>
      <c r="L5" s="15" t="n">
        <v>24</v>
      </c>
      <c r="M5" s="13" t="inlineStr">
        <is>
          <t>Pronto/Entregue</t>
        </is>
      </c>
      <c r="N5" s="13" t="inlineStr">
        <is>
          <t>Pago</t>
        </is>
      </c>
    </row>
    <row r="6" ht="22" customHeight="1">
      <c r="A6" s="21" t="inlineStr">
        <is>
          <t>PED-002</t>
        </is>
      </c>
      <c r="B6" s="32" t="n">
        <v>46301</v>
      </c>
      <c r="C6" s="18" t="inlineStr">
        <is>
          <t>Cliente Avulso</t>
        </is>
      </c>
      <c r="D6" s="17" t="inlineStr">
        <is>
          <t>Edilice Martins</t>
        </is>
      </c>
      <c r="E6" s="18" t="inlineStr">
        <is>
          <t>(41) 99722-3344</t>
        </is>
      </c>
      <c r="F6" s="33" t="inlineStr">
        <is>
          <t>Balloon Cake Topper &amp; Flores 3D</t>
        </is>
      </c>
      <c r="G6" s="33" t="inlineStr">
        <is>
          <t>Floral Rose e Dourado</t>
        </is>
      </c>
      <c r="H6" s="33" t="inlineStr">
        <is>
          <t>Parabéns Edilice</t>
        </is>
      </c>
      <c r="I6" s="18" t="inlineStr">
        <is>
          <t>2 kg (Aro 20)</t>
        </is>
      </c>
      <c r="J6" s="32" t="n">
        <v>46304</v>
      </c>
      <c r="K6" s="33" t="inlineStr">
        <is>
          <t>Letras efeito balão metalizado + 4 rosas</t>
        </is>
      </c>
      <c r="L6" s="20" t="n">
        <v>38</v>
      </c>
      <c r="M6" s="18" t="inlineStr">
        <is>
          <t>Pronto/Entregue</t>
        </is>
      </c>
      <c r="N6" s="18" t="inlineStr">
        <is>
          <t>Pago</t>
        </is>
      </c>
    </row>
    <row r="7" ht="22" customHeight="1">
      <c r="A7" s="16" t="inlineStr">
        <is>
          <t>PED-003</t>
        </is>
      </c>
      <c r="B7" s="30" t="n">
        <v>46303</v>
      </c>
      <c r="C7" s="13" t="inlineStr">
        <is>
          <t>Panificadora Parceira</t>
        </is>
      </c>
      <c r="D7" s="12" t="inlineStr">
        <is>
          <t>Confeitaria Doce Arte</t>
        </is>
      </c>
      <c r="E7" s="13" t="inlineStr">
        <is>
          <t>(41) 99633-4455</t>
        </is>
      </c>
      <c r="F7" s="31" t="inlineStr">
        <is>
          <t>Topper de Bolo Temático Personalizado</t>
        </is>
      </c>
      <c r="G7" s="31" t="inlineStr">
        <is>
          <t>Coraline</t>
        </is>
      </c>
      <c r="H7" s="31" t="inlineStr">
        <is>
          <t>Maria Heloyze - 14 anos</t>
        </is>
      </c>
      <c r="I7" s="13" t="inlineStr">
        <is>
          <t>2 kg (Aro 20)</t>
        </is>
      </c>
      <c r="J7" s="30" t="n">
        <v>46305</v>
      </c>
      <c r="K7" s="31" t="inlineStr">
        <is>
          <t>Botões roxos e pretos + lua no topo</t>
        </is>
      </c>
      <c r="L7" s="15" t="n">
        <v>16</v>
      </c>
      <c r="M7" s="13" t="inlineStr">
        <is>
          <t>Pronto/Entregue</t>
        </is>
      </c>
      <c r="N7" s="13" t="inlineStr">
        <is>
          <t>Pendente</t>
        </is>
      </c>
    </row>
    <row r="8" ht="22" customHeight="1">
      <c r="A8" s="21" t="inlineStr">
        <is>
          <t>PED-004</t>
        </is>
      </c>
      <c r="B8" s="32" t="n">
        <v>46305</v>
      </c>
      <c r="C8" s="18" t="inlineStr">
        <is>
          <t>Panificadora Parceira</t>
        </is>
      </c>
      <c r="D8" s="17" t="inlineStr">
        <is>
          <t>Panificadora Pão Quente</t>
        </is>
      </c>
      <c r="E8" s="18" t="inlineStr">
        <is>
          <t>(41) 99811-2233</t>
        </is>
      </c>
      <c r="F8" s="33" t="inlineStr">
        <is>
          <t>Topper de Bolo Temático Personalizado</t>
        </is>
      </c>
      <c r="G8" s="33" t="inlineStr">
        <is>
          <t>One Piece / Luffy</t>
        </is>
      </c>
      <c r="H8" s="33" t="inlineStr">
        <is>
          <t>Brayan - 17 anos</t>
        </is>
      </c>
      <c r="I8" s="18" t="inlineStr">
        <is>
          <t>2 kg (Aro 20)</t>
        </is>
      </c>
      <c r="J8" s="32" t="n">
        <v>46307</v>
      </c>
      <c r="K8" s="33" t="inlineStr">
        <is>
          <t>Cartazes Wanted nas laterais</t>
        </is>
      </c>
      <c r="L8" s="20" t="n">
        <v>16</v>
      </c>
      <c r="M8" s="18" t="inlineStr">
        <is>
          <t>Pronto/Entregue</t>
        </is>
      </c>
      <c r="N8" s="18" t="inlineStr">
        <is>
          <t>Pendente</t>
        </is>
      </c>
    </row>
    <row r="9" ht="22" customHeight="1">
      <c r="A9" s="16" t="inlineStr">
        <is>
          <t>PED-005</t>
        </is>
      </c>
      <c r="B9" s="30" t="n">
        <v>46306</v>
      </c>
      <c r="C9" s="13" t="inlineStr">
        <is>
          <t>Cliente Avulso</t>
        </is>
      </c>
      <c r="D9" s="12" t="inlineStr">
        <is>
          <t>Cymco Alimentos</t>
        </is>
      </c>
      <c r="E9" s="13" t="inlineStr">
        <is>
          <t>(41) 99544-5566</t>
        </is>
      </c>
      <c r="F9" s="31" t="inlineStr">
        <is>
          <t>Topper Corporativo / Empresarial</t>
        </is>
      </c>
      <c r="G9" s="31" t="inlineStr">
        <is>
          <t>Aniversário Empresa</t>
        </is>
      </c>
      <c r="H9" s="31" t="inlineStr">
        <is>
          <t>Cymco - 5 anos</t>
        </is>
      </c>
      <c r="I9" s="13" t="inlineStr">
        <is>
          <t>3 kg (Retangular)</t>
        </is>
      </c>
      <c r="J9" s="30" t="n">
        <v>46308</v>
      </c>
      <c r="K9" s="31" t="inlineStr">
        <is>
          <t>Logo oficial da empresa em destaque</t>
        </is>
      </c>
      <c r="L9" s="15" t="n">
        <v>32</v>
      </c>
      <c r="M9" s="13" t="inlineStr">
        <is>
          <t>Pronto/Entregue</t>
        </is>
      </c>
      <c r="N9" s="13" t="inlineStr">
        <is>
          <t>Pago</t>
        </is>
      </c>
    </row>
    <row r="10" ht="22" customHeight="1">
      <c r="A10" s="21" t="inlineStr">
        <is>
          <t>PED-006</t>
        </is>
      </c>
      <c r="B10" s="32" t="n">
        <v>46307</v>
      </c>
      <c r="C10" s="18" t="inlineStr">
        <is>
          <t>Panificadora Parceira</t>
        </is>
      </c>
      <c r="D10" s="17" t="inlineStr">
        <is>
          <t>Padaria Central</t>
        </is>
      </c>
      <c r="E10" s="18" t="inlineStr">
        <is>
          <t>(41) 99455-6677</t>
        </is>
      </c>
      <c r="F10" s="33" t="inlineStr">
        <is>
          <t>Topper de Bolo Temático Personalizado</t>
        </is>
      </c>
      <c r="G10" s="33" t="inlineStr">
        <is>
          <t>Tartarugas Ninja</t>
        </is>
      </c>
      <c r="H10" s="33" t="inlineStr">
        <is>
          <t>Manasses - 6 anos</t>
        </is>
      </c>
      <c r="I10" s="18" t="inlineStr">
        <is>
          <t>1.5 kg (Aro 17)</t>
        </is>
      </c>
      <c r="J10" s="32" t="n">
        <v>46309</v>
      </c>
      <c r="K10" s="33" t="inlineStr">
        <is>
          <t>Personagens no topo e fatias de pizza</t>
        </is>
      </c>
      <c r="L10" s="20" t="n">
        <v>16</v>
      </c>
      <c r="M10" s="18" t="inlineStr">
        <is>
          <t>Pronto/Entregue</t>
        </is>
      </c>
      <c r="N10" s="18" t="inlineStr">
        <is>
          <t>Pago</t>
        </is>
      </c>
    </row>
    <row r="11" ht="22" customHeight="1">
      <c r="A11" s="16" t="inlineStr">
        <is>
          <t>PED-007</t>
        </is>
      </c>
      <c r="B11" s="30" t="n">
        <v>46308</v>
      </c>
      <c r="C11" s="13" t="inlineStr">
        <is>
          <t>Cliente Avulso</t>
        </is>
      </c>
      <c r="D11" s="12" t="inlineStr">
        <is>
          <t>TranspoTech Logística</t>
        </is>
      </c>
      <c r="E11" s="13" t="inlineStr">
        <is>
          <t>(41) 99123-4567</t>
        </is>
      </c>
      <c r="F11" s="31" t="inlineStr">
        <is>
          <t>Topper Corporativo / Empresarial</t>
        </is>
      </c>
      <c r="G11" s="31" t="inlineStr">
        <is>
          <t>25 Anos TranspoTech</t>
        </is>
      </c>
      <c r="H11" s="31" t="inlineStr">
        <is>
          <t>25 Anos</t>
        </is>
      </c>
      <c r="I11" s="13" t="inlineStr">
        <is>
          <t>3 kg (Aro 25)</t>
        </is>
      </c>
      <c r="J11" s="30" t="n">
        <v>46311</v>
      </c>
      <c r="K11" s="31" t="inlineStr">
        <is>
          <t>Número 25 dourado lamicote + empilhadeira</t>
        </is>
      </c>
      <c r="L11" s="15" t="n">
        <v>32</v>
      </c>
      <c r="M11" s="13" t="inlineStr">
        <is>
          <t>Pronto/Entregue</t>
        </is>
      </c>
      <c r="N11" s="13" t="inlineStr">
        <is>
          <t>Pago</t>
        </is>
      </c>
    </row>
    <row r="12" ht="22" customHeight="1">
      <c r="A12" s="21" t="inlineStr">
        <is>
          <t>PED-008</t>
        </is>
      </c>
      <c r="B12" s="32" t="n">
        <v>46309</v>
      </c>
      <c r="C12" s="18" t="inlineStr">
        <is>
          <t>Panificadora Parceira</t>
        </is>
      </c>
      <c r="D12" s="17" t="inlineStr">
        <is>
          <t>Confeitaria Doce Arte</t>
        </is>
      </c>
      <c r="E12" s="18" t="inlineStr">
        <is>
          <t>(41) 99633-4455</t>
        </is>
      </c>
      <c r="F12" s="33" t="inlineStr">
        <is>
          <t>Topper de Bolo Temático Personalizado</t>
        </is>
      </c>
      <c r="G12" s="33" t="inlineStr">
        <is>
          <t>Roblox</t>
        </is>
      </c>
      <c r="H12" s="33" t="inlineStr">
        <is>
          <t>José Jhonatan - 7 anos</t>
        </is>
      </c>
      <c r="I12" s="18" t="inlineStr">
        <is>
          <t>2 kg (Aro 20)</t>
        </is>
      </c>
      <c r="J12" s="32" t="n">
        <v>46312</v>
      </c>
      <c r="K12" s="33" t="inlineStr">
        <is>
          <t>Bonecos do Roblox no topo</t>
        </is>
      </c>
      <c r="L12" s="20" t="n">
        <v>16</v>
      </c>
      <c r="M12" s="18" t="inlineStr">
        <is>
          <t>Imprimindo/Cortando</t>
        </is>
      </c>
      <c r="N12" s="18" t="inlineStr">
        <is>
          <t>Pendente</t>
        </is>
      </c>
    </row>
    <row r="13" ht="22" customHeight="1">
      <c r="A13" s="16" t="inlineStr">
        <is>
          <t>PED-009</t>
        </is>
      </c>
      <c r="B13" s="30" t="n">
        <v>46310</v>
      </c>
      <c r="C13" s="13" t="inlineStr">
        <is>
          <t>Panificadora Parceira</t>
        </is>
      </c>
      <c r="D13" s="12" t="inlineStr">
        <is>
          <t>Panificadora Pão Quente</t>
        </is>
      </c>
      <c r="E13" s="13" t="inlineStr">
        <is>
          <t>(41) 99811-2233</t>
        </is>
      </c>
      <c r="F13" s="31" t="inlineStr">
        <is>
          <t>Balloon Cake Topper &amp; Flores 3D</t>
        </is>
      </c>
      <c r="G13" s="31" t="inlineStr">
        <is>
          <t>Stitch com Flores</t>
        </is>
      </c>
      <c r="H13" s="31" t="inlineStr">
        <is>
          <t>Aranza - 3 anos</t>
        </is>
      </c>
      <c r="I13" s="13" t="inlineStr">
        <is>
          <t>2 kg (Aro 20)</t>
        </is>
      </c>
      <c r="J13" s="30" t="n">
        <v>46312</v>
      </c>
      <c r="K13" s="31" t="inlineStr">
        <is>
          <t>Stitch 3D + flores em camadas</t>
        </is>
      </c>
      <c r="L13" s="15" t="n">
        <v>26</v>
      </c>
      <c r="M13" s="13" t="inlineStr">
        <is>
          <t>Imprimindo/Cortando</t>
        </is>
      </c>
      <c r="N13" s="13" t="inlineStr">
        <is>
          <t>Pendente</t>
        </is>
      </c>
    </row>
    <row r="14" ht="22" customHeight="1">
      <c r="A14" s="21" t="inlineStr">
        <is>
          <t>PED-010</t>
        </is>
      </c>
      <c r="B14" s="32" t="n">
        <v>46310</v>
      </c>
      <c r="C14" s="18" t="inlineStr">
        <is>
          <t>Cliente Avulso</t>
        </is>
      </c>
      <c r="D14" s="17" t="inlineStr">
        <is>
          <t>Patricia Oliveira</t>
        </is>
      </c>
      <c r="E14" s="18" t="inlineStr">
        <is>
          <t>(41) 99366-7788</t>
        </is>
      </c>
      <c r="F14" s="33" t="inlineStr">
        <is>
          <t>Cestas que Emocionam (Box + Balão)</t>
        </is>
      </c>
      <c r="G14" s="33" t="inlineStr">
        <is>
          <t>Cesta Aniversário Urso</t>
        </is>
      </c>
      <c r="H14" s="33" t="inlineStr">
        <is>
          <t>Feliz Aniversário</t>
        </is>
      </c>
      <c r="I14" s="18" t="inlineStr">
        <is>
          <t>Box Média c/ Balão</t>
        </is>
      </c>
      <c r="J14" s="32" t="n">
        <v>46313</v>
      </c>
      <c r="K14" s="33" t="inlineStr">
        <is>
          <t>Laço azul marinho e balão bubble</t>
        </is>
      </c>
      <c r="L14" s="20" t="n">
        <v>110</v>
      </c>
      <c r="M14" s="18" t="inlineStr">
        <is>
          <t>Fazendo Arte</t>
        </is>
      </c>
      <c r="N14" s="18" t="inlineStr">
        <is>
          <t>Pago</t>
        </is>
      </c>
    </row>
    <row r="15" ht="22" customHeight="1">
      <c r="A15" s="16" t="inlineStr">
        <is>
          <t>PED-011</t>
        </is>
      </c>
      <c r="B15" s="30" t="n">
        <v>46311</v>
      </c>
      <c r="C15" s="13" t="inlineStr">
        <is>
          <t>Panificadora Parceira</t>
        </is>
      </c>
      <c r="D15" s="12" t="inlineStr">
        <is>
          <t>Padaria Central</t>
        </is>
      </c>
      <c r="E15" s="13" t="inlineStr">
        <is>
          <t>(41) 99455-6677</t>
        </is>
      </c>
      <c r="F15" s="31" t="inlineStr">
        <is>
          <t>Topper de Bolo Temático Personalizado</t>
        </is>
      </c>
      <c r="G15" s="31" t="inlineStr">
        <is>
          <t>Miraculous Cat Noir</t>
        </is>
      </c>
      <c r="H15" s="31" t="inlineStr">
        <is>
          <t>Henry - 6 anos</t>
        </is>
      </c>
      <c r="I15" s="13" t="inlineStr">
        <is>
          <t>1.5 kg (Aro 17)</t>
        </is>
      </c>
      <c r="J15" s="30" t="n">
        <v>46314</v>
      </c>
      <c r="K15" s="31" t="inlineStr">
        <is>
          <t>Detalhes verde neon e patinhas</t>
        </is>
      </c>
      <c r="L15" s="15" t="n">
        <v>16</v>
      </c>
      <c r="M15" s="13" t="inlineStr">
        <is>
          <t>Na Fila</t>
        </is>
      </c>
      <c r="N15" s="13" t="inlineStr">
        <is>
          <t>Pendente</t>
        </is>
      </c>
    </row>
    <row r="16" ht="22" customHeight="1">
      <c r="A16" s="21" t="inlineStr">
        <is>
          <t>PED-012</t>
        </is>
      </c>
      <c r="B16" s="32" t="n">
        <v>46311</v>
      </c>
      <c r="C16" s="18" t="inlineStr">
        <is>
          <t>Panificadora Parceira</t>
        </is>
      </c>
      <c r="D16" s="17" t="inlineStr">
        <is>
          <t>Confeitaria Doce Arte</t>
        </is>
      </c>
      <c r="E16" s="18" t="inlineStr">
        <is>
          <t>(41) 99633-4455</t>
        </is>
      </c>
      <c r="F16" s="33" t="inlineStr">
        <is>
          <t>Topo Especial 3D em Camadas / Com Foto</t>
        </is>
      </c>
      <c r="G16" s="33" t="inlineStr">
        <is>
          <t>Barbearia / Foto</t>
        </is>
      </c>
      <c r="H16" s="33" t="inlineStr">
        <is>
          <t>Guilherme - 17 anos</t>
        </is>
      </c>
      <c r="I16" s="18" t="inlineStr">
        <is>
          <t>2 kg (Aro 20)</t>
        </is>
      </c>
      <c r="J16" s="32" t="n">
        <v>46315</v>
      </c>
      <c r="K16" s="33" t="inlineStr">
        <is>
          <t>Foto recortada + tesoura, pente e máquina</t>
        </is>
      </c>
      <c r="L16" s="20" t="n">
        <v>24</v>
      </c>
      <c r="M16" s="18" t="inlineStr">
        <is>
          <t>Na Fila</t>
        </is>
      </c>
      <c r="N16" s="18" t="inlineStr">
        <is>
          <t>Pendente</t>
        </is>
      </c>
    </row>
  </sheetData>
  <autoFilter ref="A4:N500"/>
  <mergeCells count="2">
    <mergeCell ref="A2:N2"/>
    <mergeCell ref="A1:N1"/>
  </mergeCells>
  <conditionalFormatting sqref="N5:N500">
    <cfRule type="cellIs" priority="1" operator="equal" dxfId="1">
      <formula>"Pago"</formula>
    </cfRule>
    <cfRule type="cellIs" priority="2" operator="equal" dxfId="0">
      <formula>"Pendente"</formula>
    </cfRule>
  </conditionalFormatting>
  <conditionalFormatting sqref="M5:M500">
    <cfRule type="cellIs" priority="3" operator="equal" dxfId="1">
      <formula>"Pronto/Entregue"</formula>
    </cfRule>
    <cfRule type="cellIs" priority="4" operator="equal" dxfId="2">
      <formula>"Na Fila"</formula>
    </cfRule>
    <cfRule type="cellIs" priority="5" operator="equal" dxfId="3">
      <formula>"Fazendo Arte"</formula>
    </cfRule>
    <cfRule type="cellIs" priority="6" operator="equal" dxfId="0">
      <formula>"Imprimindo/Cortando"</formula>
    </cfRule>
  </conditionalFormatting>
  <dataValidations count="3">
    <dataValidation sqref="C5:C500" showDropDown="0" showInputMessage="0" showErrorMessage="0" allowBlank="1" type="list">
      <formula1>"Panificadora Parceira,Cliente Avulso"</formula1>
    </dataValidation>
    <dataValidation sqref="M5:M500" showDropDown="0" showInputMessage="0" showErrorMessage="0" allowBlank="1" type="list">
      <formula1>"Na Fila,Fazendo Arte,Imprimindo/Cortando,Pronto/Entregue"</formula1>
    </dataValidation>
    <dataValidation sqref="N5:N500" showDropDown="0" showInputMessage="0" showErrorMessage="0" allowBlank="1" type="list">
      <formula1>"Pendente,Pago"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48" customWidth="1" min="3" max="3"/>
    <col width="22" customWidth="1" min="4" max="4"/>
    <col width="22" customWidth="1" min="5" max="5"/>
    <col width="18" customWidth="1" min="6" max="6"/>
    <col width="18" customWidth="1" min="7" max="7"/>
    <col width="4" customWidth="1" min="8" max="8"/>
    <col width="28" customWidth="1" min="9" max="9"/>
  </cols>
  <sheetData>
    <row r="1" ht="34" customHeight="1">
      <c r="A1" s="1" t="inlineStr">
        <is>
          <t>FATTO PER TE — CATÁLOGO E PREÇOS (CONECTADO AUTOMATICAMENTE AO SITE)</t>
        </is>
      </c>
    </row>
    <row r="2" ht="24" customHeight="1">
      <c r="A2" s="34" t="inlineStr">
        <is>
          <t>Qualquer alteração de Nome, Descrição, Preço ou Senha feita nesta aba atualiza o site automaticamente ao recarregar a página!</t>
        </is>
      </c>
    </row>
    <row r="4" ht="28" customHeight="1">
      <c r="A4" s="11" t="inlineStr">
        <is>
          <t>Código</t>
        </is>
      </c>
      <c r="B4" s="10" t="inlineStr">
        <is>
          <t>Nome do Produto (Aparece no Site)</t>
        </is>
      </c>
      <c r="C4" s="10" t="inlineStr">
        <is>
          <t>Descrição Curta (Aparece no Site)</t>
        </is>
      </c>
      <c r="D4" s="29" t="inlineStr">
        <is>
          <t>Preço Cliente Final (R$)</t>
        </is>
      </c>
      <c r="E4" s="29" t="inlineStr">
        <is>
          <t>Preço Panificadora (R$)</t>
        </is>
      </c>
      <c r="F4" s="11" t="inlineStr">
        <is>
          <t>Custo Material (R$)</t>
        </is>
      </c>
      <c r="G4" s="29" t="inlineStr">
        <is>
          <t>Mostrar no Site?</t>
        </is>
      </c>
      <c r="I4" s="35" t="inlineStr">
        <is>
          <t>SENHA DAS PADARIAS (SITE)</t>
        </is>
      </c>
    </row>
    <row r="5" ht="24" customHeight="1">
      <c r="A5" s="16" t="inlineStr">
        <is>
          <t>TOP-01</t>
        </is>
      </c>
      <c r="B5" s="12" t="inlineStr">
        <is>
          <t>Topper de Bolo Temático Personalizado</t>
        </is>
      </c>
      <c r="C5" s="31" t="inlineStr">
        <is>
          <t>Personagens, Infantil, Futebol, Séries (Ex: One Piece, Roblox, Miraculous)</t>
        </is>
      </c>
      <c r="D5" s="15" t="n">
        <v>25</v>
      </c>
      <c r="E5" s="15" t="n">
        <v>16</v>
      </c>
      <c r="F5" s="14" t="n">
        <v>4</v>
      </c>
      <c r="G5" s="13" t="inlineStr">
        <is>
          <t>Sim</t>
        </is>
      </c>
      <c r="I5" s="36" t="inlineStr">
        <is>
          <t>FATTO</t>
        </is>
      </c>
    </row>
    <row r="6" ht="24" customHeight="1">
      <c r="A6" s="21" t="inlineStr">
        <is>
          <t>TOP-02</t>
        </is>
      </c>
      <c r="B6" s="17" t="inlineStr">
        <is>
          <t>Balloon Cake Topper &amp; Flores 3D</t>
        </is>
      </c>
      <c r="C6" s="33" t="inlineStr">
        <is>
          <t>Letras com efeito balão metalizado + flores em camadas e folhagem dourada</t>
        </is>
      </c>
      <c r="D6" s="20" t="n">
        <v>38</v>
      </c>
      <c r="E6" s="20" t="n">
        <v>26</v>
      </c>
      <c r="F6" s="19" t="n">
        <v>8</v>
      </c>
      <c r="G6" s="18" t="inlineStr">
        <is>
          <t>Sim</t>
        </is>
      </c>
      <c r="I6" s="37" t="inlineStr">
        <is>
          <t>👆 Se quiser mudar a senha que libera os preços de Panificadora no site, basta trocar a palavra acima!</t>
        </is>
      </c>
    </row>
    <row r="7" ht="24" customHeight="1">
      <c r="A7" s="16" t="inlineStr">
        <is>
          <t>TOP-03</t>
        </is>
      </c>
      <c r="B7" s="12" t="inlineStr">
        <is>
          <t>Topo Especial 3D em Camadas / Com Foto</t>
        </is>
      </c>
      <c r="C7" s="31" t="inlineStr">
        <is>
          <t>Cenários ricos em camadas ou foto personalizada (Ex: Fazendinha, Barbearia)</t>
        </is>
      </c>
      <c r="D7" s="15" t="n">
        <v>35</v>
      </c>
      <c r="E7" s="15" t="n">
        <v>24</v>
      </c>
      <c r="F7" s="14" t="n">
        <v>7</v>
      </c>
      <c r="G7" s="13" t="inlineStr">
        <is>
          <t>Sim</t>
        </is>
      </c>
    </row>
    <row r="8" ht="24" customHeight="1">
      <c r="A8" s="21" t="inlineStr">
        <is>
          <t>TOP-04</t>
        </is>
      </c>
      <c r="B8" s="17" t="inlineStr">
        <is>
          <t>Topper Corporativo / Empresarial</t>
        </is>
      </c>
      <c r="C8" s="33" t="inlineStr">
        <is>
          <t>Personalizado com a marca da empresa para comemorações (Ex: Cymco, TranspoTech)</t>
        </is>
      </c>
      <c r="D8" s="20" t="n">
        <v>32</v>
      </c>
      <c r="E8" s="20" t="n">
        <v>22</v>
      </c>
      <c r="F8" s="19" t="n">
        <v>6</v>
      </c>
      <c r="G8" s="18" t="inlineStr">
        <is>
          <t>Sim</t>
        </is>
      </c>
    </row>
    <row r="9" ht="24" customHeight="1">
      <c r="A9" s="16" t="inlineStr">
        <is>
          <t>CES-01</t>
        </is>
      </c>
      <c r="B9" s="12" t="inlineStr">
        <is>
          <t>Cestas que Emocionam (Box + Balão)</t>
        </is>
      </c>
      <c r="C9" s="31" t="inlineStr">
        <is>
          <t>Café da Manhã, Aniversário, Infantil, Maternidade, Namorados ou Corporativo</t>
        </is>
      </c>
      <c r="D9" s="15" t="n">
        <v>110</v>
      </c>
      <c r="E9" s="15" t="n">
        <v>88</v>
      </c>
      <c r="F9" s="14" t="n">
        <v>42</v>
      </c>
      <c r="G9" s="13" t="inlineStr">
        <is>
          <t>Sim</t>
        </is>
      </c>
    </row>
    <row r="10" ht="24" customHeight="1">
      <c r="A10" s="21" t="inlineStr">
        <is>
          <t>MIM-01</t>
        </is>
      </c>
      <c r="B10" s="17" t="inlineStr">
        <is>
          <t>Cone Floral / Mimos &amp; Papelaria Criativa</t>
        </is>
      </c>
      <c r="C10" s="33" t="inlineStr">
        <is>
          <t>Cones florais personalizados, lembrancinhas e artigos para festas</t>
        </is>
      </c>
      <c r="D10" s="20" t="n">
        <v>45</v>
      </c>
      <c r="E10" s="20" t="n">
        <v>34</v>
      </c>
      <c r="F10" s="19" t="n">
        <v>12</v>
      </c>
      <c r="G10" s="18" t="inlineStr">
        <is>
          <t>Sim</t>
        </is>
      </c>
    </row>
  </sheetData>
  <mergeCells count="3">
    <mergeCell ref="A1:I1"/>
    <mergeCell ref="I6:I8"/>
    <mergeCell ref="A2:I2"/>
  </mergeCells>
  <conditionalFormatting sqref="G5:G50">
    <cfRule type="cellIs" priority="1" operator="equal" dxfId="1">
      <formula>"Sim"</formula>
    </cfRule>
    <cfRule type="cellIs" priority="2" operator="equal" dxfId="2">
      <formula>"Não"</formula>
    </cfRule>
  </conditionalFormatting>
  <dataValidations count="1">
    <dataValidation sqref="G5:G50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2026-10-17T22:17:44Z</dcterms:created>
  <dcterms:modified xmlns:dcterms="http://purl.org/dc/terms/" xmlns:xsi="http://www.w3.org/2001/XMLSchema-instance" xsi:type="dcterms:W3CDTF">2026-10-17T22:17:44Z</dcterms:modified>
</cp:coreProperties>
</file>